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055" windowHeight="7440"/>
  </bookViews>
  <sheets>
    <sheet name="Összesítő" sheetId="1" r:id="rId1"/>
    <sheet name="Szennyvíz" sheetId="2" r:id="rId2"/>
    <sheet name="Csapadékvíz" sheetId="3" r:id="rId3"/>
    <sheet name="Víz" sheetId="4" r:id="rId4"/>
  </sheets>
  <calcPr calcId="125725"/>
</workbook>
</file>

<file path=xl/calcChain.xml><?xml version="1.0" encoding="utf-8"?>
<calcChain xmlns="http://schemas.openxmlformats.org/spreadsheetml/2006/main">
  <c r="F3" i="4"/>
  <c r="F4"/>
  <c r="F5"/>
  <c r="F6"/>
  <c r="F7"/>
  <c r="F8"/>
  <c r="F9"/>
  <c r="F10"/>
  <c r="F11"/>
  <c r="F12"/>
  <c r="F2"/>
  <c r="F3" i="3"/>
  <c r="F4"/>
  <c r="F5"/>
  <c r="F6"/>
  <c r="F7"/>
  <c r="F8"/>
  <c r="F9"/>
  <c r="F10"/>
  <c r="F11"/>
  <c r="F12"/>
  <c r="F13"/>
  <c r="F2"/>
  <c r="F3" i="2"/>
  <c r="F4"/>
  <c r="F5"/>
  <c r="F6"/>
  <c r="F7"/>
  <c r="F8"/>
  <c r="F9"/>
  <c r="F10"/>
  <c r="F11"/>
  <c r="F12"/>
  <c r="F2"/>
  <c r="F14" i="4" l="1"/>
  <c r="C15" i="1" s="1"/>
  <c r="F15" i="3"/>
  <c r="C13" i="1" s="1"/>
  <c r="F14" i="2"/>
  <c r="C11" i="1" s="1"/>
  <c r="C17" l="1"/>
</calcChain>
</file>

<file path=xl/sharedStrings.xml><?xml version="1.0" encoding="utf-8"?>
<sst xmlns="http://schemas.openxmlformats.org/spreadsheetml/2006/main" count="99" uniqueCount="42">
  <si>
    <t>Meglévő kockakő útburkolat bontása útalappal együtt</t>
  </si>
  <si>
    <t>Bontptt törmelék elszállítása</t>
  </si>
  <si>
    <t>DN 160 KG-PVC bekötés építése</t>
  </si>
  <si>
    <t>Meglévő aknára kötés</t>
  </si>
  <si>
    <t>NA 250 KG-PVC védőcső beépítése</t>
  </si>
  <si>
    <t>DN 160/160/200 házi bekötő tisztítóidom építése</t>
  </si>
  <si>
    <t>D400, DN 400 KN öntvény tisztító fedlap építése</t>
  </si>
  <si>
    <t>keresztező közművezetékek üzembiztosítása</t>
  </si>
  <si>
    <t>Burkolat helyreállítás Görgey urcai rákötésnél</t>
  </si>
  <si>
    <t>Zöldterület helyreállítás Önkormányzati közútkezelői engedély alapján</t>
  </si>
  <si>
    <t>Szakfelügyeletek költsége E közmű nyilatkozatok alapján</t>
  </si>
  <si>
    <t>Ssz.</t>
  </si>
  <si>
    <t>Megnevezés</t>
  </si>
  <si>
    <t>Menny.</t>
  </si>
  <si>
    <t>Egys.</t>
  </si>
  <si>
    <t>e.ár</t>
  </si>
  <si>
    <t>Összesen</t>
  </si>
  <si>
    <t>Keresztező közművezetékek üzembiztosítása</t>
  </si>
  <si>
    <t>m2</t>
  </si>
  <si>
    <t>m3</t>
  </si>
  <si>
    <t>fm</t>
  </si>
  <si>
    <t>db</t>
  </si>
  <si>
    <t>klts</t>
  </si>
  <si>
    <t>Összesen:</t>
  </si>
  <si>
    <t>Magyar Közút NYRT hozzájárulás megkérése</t>
  </si>
  <si>
    <t>Meglévő víznyelő aknára kötés</t>
  </si>
  <si>
    <t>Ideiglenes forgalomtechnikai terv készítése, engedélyezése</t>
  </si>
  <si>
    <t>Ideiglenes forgalomtechnika kiépításe bontása</t>
  </si>
  <si>
    <t>Kiemelt szegély bontása, helyreállítása</t>
  </si>
  <si>
    <t>1,2 x 1,0 x 1,4 méretű vízóra akna építése zsalukőből</t>
  </si>
  <si>
    <t>DN 40 PN 10 KPE bekötővezeték építése</t>
  </si>
  <si>
    <t>DN 63 KPE védőcső építése</t>
  </si>
  <si>
    <t>Vízóra akna szerelvényezése</t>
  </si>
  <si>
    <t>Élőrekötés meglévő DN 200 GÖV vízvezetéken</t>
  </si>
  <si>
    <t>TLK Invest Kft.</t>
  </si>
  <si>
    <t>2089 Telki, Berkenye köz 5.</t>
  </si>
  <si>
    <t xml:space="preserve">             közmű bekötési munkái</t>
  </si>
  <si>
    <t>Szennyvíz bekötési munkák:</t>
  </si>
  <si>
    <t>Tárgy: 2600 Vác, Görgey Artúr u. 32. szám alatt épülő társasház</t>
  </si>
  <si>
    <t>Csapadékvíz bekötési munkák:</t>
  </si>
  <si>
    <t>Vízbekötési munkák:</t>
  </si>
  <si>
    <t>Az összeg a közműfejlesztés díját nem tartalmazza.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</si>
</sst>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3" fontId="1" fillId="0" borderId="0" xfId="0" applyNumberFormat="1" applyFont="1"/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9"/>
  <sheetViews>
    <sheetView tabSelected="1" topLeftCell="A5" workbookViewId="0">
      <selection activeCell="C17" sqref="C17"/>
    </sheetView>
  </sheetViews>
  <sheetFormatPr defaultRowHeight="15"/>
  <cols>
    <col min="1" max="1" width="56.7109375" style="1" bestFit="1" customWidth="1"/>
    <col min="3" max="3" width="9.85546875" bestFit="1" customWidth="1"/>
  </cols>
  <sheetData>
    <row r="3" spans="1:3">
      <c r="A3" s="1" t="s">
        <v>34</v>
      </c>
    </row>
    <row r="4" spans="1:3">
      <c r="A4" s="1" t="s">
        <v>35</v>
      </c>
    </row>
    <row r="6" spans="1:3">
      <c r="A6" s="1" t="s">
        <v>38</v>
      </c>
    </row>
    <row r="7" spans="1:3">
      <c r="A7" s="1" t="s">
        <v>36</v>
      </c>
    </row>
    <row r="8" spans="1:3" s="10" customFormat="1">
      <c r="A8" s="1"/>
    </row>
    <row r="9" spans="1:3" s="10" customFormat="1">
      <c r="A9" s="1"/>
      <c r="B9" s="4"/>
      <c r="C9" s="2" t="s">
        <v>16</v>
      </c>
    </row>
    <row r="11" spans="1:3">
      <c r="A11" s="1" t="s">
        <v>37</v>
      </c>
      <c r="C11" s="8">
        <f>Szennyvíz!F14</f>
        <v>2701754</v>
      </c>
    </row>
    <row r="13" spans="1:3">
      <c r="A13" s="1" t="s">
        <v>39</v>
      </c>
      <c r="C13" s="8">
        <f>Csapadékvíz!F15</f>
        <v>2716230</v>
      </c>
    </row>
    <row r="15" spans="1:3">
      <c r="A15" s="1" t="s">
        <v>40</v>
      </c>
      <c r="C15" s="8">
        <f>Víz!F14</f>
        <v>5067865</v>
      </c>
    </row>
    <row r="17" spans="1:3" s="1" customFormat="1">
      <c r="A17" s="1" t="s">
        <v>23</v>
      </c>
      <c r="C17" s="9">
        <f>SUM(C11:C16)</f>
        <v>10485849</v>
      </c>
    </row>
    <row r="19" spans="1:3">
      <c r="A19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view="pageBreakPreview" zoomScaleNormal="100" zoomScaleSheetLayoutView="100" workbookViewId="0">
      <selection activeCell="B16" sqref="B16"/>
    </sheetView>
  </sheetViews>
  <sheetFormatPr defaultRowHeight="15"/>
  <cols>
    <col min="2" max="2" width="65.28515625" bestFit="1" customWidth="1"/>
    <col min="5" max="5" width="11" style="8" bestFit="1" customWidth="1"/>
    <col min="6" max="6" width="12.42578125" style="8" bestFit="1" customWidth="1"/>
  </cols>
  <sheetData>
    <row r="1" spans="1:6" s="2" customFormat="1">
      <c r="A1" s="3" t="s">
        <v>11</v>
      </c>
      <c r="B1" s="3" t="s">
        <v>12</v>
      </c>
      <c r="C1" s="3" t="s">
        <v>13</v>
      </c>
      <c r="D1" s="3" t="s">
        <v>14</v>
      </c>
      <c r="E1" s="6" t="s">
        <v>15</v>
      </c>
      <c r="F1" s="6" t="s">
        <v>16</v>
      </c>
    </row>
    <row r="2" spans="1:6">
      <c r="A2" s="5">
        <v>1</v>
      </c>
      <c r="B2" s="5" t="s">
        <v>0</v>
      </c>
      <c r="C2" s="5">
        <v>10</v>
      </c>
      <c r="D2" s="5" t="s">
        <v>18</v>
      </c>
      <c r="E2" s="7">
        <v>8800</v>
      </c>
      <c r="F2" s="7">
        <f>C2*E2</f>
        <v>88000</v>
      </c>
    </row>
    <row r="3" spans="1:6">
      <c r="A3" s="5">
        <v>2</v>
      </c>
      <c r="B3" s="5" t="s">
        <v>1</v>
      </c>
      <c r="C3" s="5">
        <v>2.5</v>
      </c>
      <c r="D3" s="5" t="s">
        <v>19</v>
      </c>
      <c r="E3" s="7">
        <v>24200.000000000004</v>
      </c>
      <c r="F3" s="7">
        <f t="shared" ref="F3:F12" si="0">C3*E3</f>
        <v>60500.000000000007</v>
      </c>
    </row>
    <row r="4" spans="1:6">
      <c r="A4" s="5">
        <v>3</v>
      </c>
      <c r="B4" s="5" t="s">
        <v>2</v>
      </c>
      <c r="C4" s="5">
        <v>6</v>
      </c>
      <c r="D4" s="5" t="s">
        <v>20</v>
      </c>
      <c r="E4" s="7">
        <v>86075</v>
      </c>
      <c r="F4" s="7">
        <f t="shared" si="0"/>
        <v>516450</v>
      </c>
    </row>
    <row r="5" spans="1:6">
      <c r="A5" s="5">
        <v>4</v>
      </c>
      <c r="B5" s="5" t="s">
        <v>3</v>
      </c>
      <c r="C5" s="5">
        <v>1</v>
      </c>
      <c r="D5" s="5" t="s">
        <v>21</v>
      </c>
      <c r="E5" s="7">
        <v>97350.000000000015</v>
      </c>
      <c r="F5" s="7">
        <f t="shared" si="0"/>
        <v>97350.000000000015</v>
      </c>
    </row>
    <row r="6" spans="1:6">
      <c r="A6" s="5">
        <v>5</v>
      </c>
      <c r="B6" s="5" t="s">
        <v>4</v>
      </c>
      <c r="C6" s="5">
        <v>4.2</v>
      </c>
      <c r="D6" s="5" t="s">
        <v>20</v>
      </c>
      <c r="E6" s="7">
        <v>48620.000000000007</v>
      </c>
      <c r="F6" s="7">
        <f t="shared" si="0"/>
        <v>204204.00000000003</v>
      </c>
    </row>
    <row r="7" spans="1:6">
      <c r="A7" s="5">
        <v>6</v>
      </c>
      <c r="B7" s="5" t="s">
        <v>5</v>
      </c>
      <c r="C7" s="5">
        <v>1</v>
      </c>
      <c r="D7" s="5" t="s">
        <v>21</v>
      </c>
      <c r="E7" s="7">
        <v>163350</v>
      </c>
      <c r="F7" s="7">
        <f t="shared" si="0"/>
        <v>163350</v>
      </c>
    </row>
    <row r="8" spans="1:6">
      <c r="A8" s="5">
        <v>7</v>
      </c>
      <c r="B8" s="5" t="s">
        <v>6</v>
      </c>
      <c r="C8" s="5">
        <v>1</v>
      </c>
      <c r="D8" s="5" t="s">
        <v>21</v>
      </c>
      <c r="E8" s="7">
        <v>85800</v>
      </c>
      <c r="F8" s="7">
        <f t="shared" si="0"/>
        <v>85800</v>
      </c>
    </row>
    <row r="9" spans="1:6">
      <c r="A9" s="5">
        <v>8</v>
      </c>
      <c r="B9" s="5" t="s">
        <v>17</v>
      </c>
      <c r="C9" s="5">
        <v>1</v>
      </c>
      <c r="D9" s="5" t="s">
        <v>22</v>
      </c>
      <c r="E9" s="7">
        <v>220000.00000000003</v>
      </c>
      <c r="F9" s="7">
        <f t="shared" si="0"/>
        <v>220000.00000000003</v>
      </c>
    </row>
    <row r="10" spans="1:6">
      <c r="A10" s="5">
        <v>9</v>
      </c>
      <c r="B10" s="5" t="s">
        <v>8</v>
      </c>
      <c r="C10" s="5">
        <v>10</v>
      </c>
      <c r="D10" s="5" t="s">
        <v>18</v>
      </c>
      <c r="E10" s="7">
        <v>53790.000000000007</v>
      </c>
      <c r="F10" s="7">
        <f t="shared" si="0"/>
        <v>537900.00000000012</v>
      </c>
    </row>
    <row r="11" spans="1:6">
      <c r="A11" s="5">
        <v>10</v>
      </c>
      <c r="B11" s="5" t="s">
        <v>9</v>
      </c>
      <c r="C11" s="5">
        <v>50</v>
      </c>
      <c r="D11" s="5" t="s">
        <v>18</v>
      </c>
      <c r="E11" s="7">
        <v>4664</v>
      </c>
      <c r="F11" s="7">
        <f t="shared" si="0"/>
        <v>233200</v>
      </c>
    </row>
    <row r="12" spans="1:6">
      <c r="A12" s="5">
        <v>11</v>
      </c>
      <c r="B12" s="5" t="s">
        <v>10</v>
      </c>
      <c r="C12" s="5">
        <v>1</v>
      </c>
      <c r="D12" s="5" t="s">
        <v>22</v>
      </c>
      <c r="E12" s="7">
        <v>495000.00000000006</v>
      </c>
      <c r="F12" s="7">
        <f t="shared" si="0"/>
        <v>495000.00000000006</v>
      </c>
    </row>
    <row r="14" spans="1:6">
      <c r="B14" s="1" t="s">
        <v>23</v>
      </c>
      <c r="F14" s="9">
        <f>SUM(F2:F13)</f>
        <v>2701754</v>
      </c>
    </row>
  </sheetData>
  <pageMargins left="0.7" right="0.7" top="0.75" bottom="0.75" header="0.3" footer="0.3"/>
  <pageSetup paperSize="9" scale="7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view="pageBreakPreview" zoomScaleNormal="100" zoomScaleSheetLayoutView="100" workbookViewId="0">
      <selection activeCell="H1" sqref="H1:H1048576"/>
    </sheetView>
  </sheetViews>
  <sheetFormatPr defaultRowHeight="15"/>
  <cols>
    <col min="1" max="1" width="9.28515625" bestFit="1" customWidth="1"/>
    <col min="2" max="2" width="65.28515625" bestFit="1" customWidth="1"/>
    <col min="3" max="3" width="9.28515625" bestFit="1" customWidth="1"/>
    <col min="5" max="5" width="9.28515625" style="8" bestFit="1" customWidth="1"/>
    <col min="6" max="6" width="10.85546875" style="8" bestFit="1" customWidth="1"/>
  </cols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6" t="s">
        <v>15</v>
      </c>
      <c r="F1" s="6" t="s">
        <v>16</v>
      </c>
    </row>
    <row r="2" spans="1:6">
      <c r="A2" s="5">
        <v>1</v>
      </c>
      <c r="B2" s="5" t="s">
        <v>24</v>
      </c>
      <c r="C2" s="5">
        <v>1</v>
      </c>
      <c r="D2" s="5" t="s">
        <v>22</v>
      </c>
      <c r="E2" s="7">
        <v>110000.00000000001</v>
      </c>
      <c r="F2" s="7">
        <f>C2*E2</f>
        <v>110000.00000000001</v>
      </c>
    </row>
    <row r="3" spans="1:6">
      <c r="A3" s="5">
        <v>2</v>
      </c>
      <c r="B3" s="5" t="s">
        <v>25</v>
      </c>
      <c r="C3" s="5">
        <v>1</v>
      </c>
      <c r="D3" s="5" t="s">
        <v>21</v>
      </c>
      <c r="E3" s="7">
        <v>137720</v>
      </c>
      <c r="F3" s="7">
        <f t="shared" ref="F3:F13" si="0">C3*E3</f>
        <v>137720</v>
      </c>
    </row>
    <row r="4" spans="1:6">
      <c r="A4" s="5">
        <v>3</v>
      </c>
      <c r="B4" s="5" t="s">
        <v>26</v>
      </c>
      <c r="C4" s="5">
        <v>1</v>
      </c>
      <c r="D4" s="5" t="s">
        <v>22</v>
      </c>
      <c r="E4" s="7">
        <v>242000.00000000003</v>
      </c>
      <c r="F4" s="7">
        <f t="shared" si="0"/>
        <v>242000.00000000003</v>
      </c>
    </row>
    <row r="5" spans="1:6">
      <c r="A5" s="5">
        <v>4</v>
      </c>
      <c r="B5" s="5" t="s">
        <v>27</v>
      </c>
      <c r="C5" s="5">
        <v>1</v>
      </c>
      <c r="D5" s="5" t="s">
        <v>22</v>
      </c>
      <c r="E5" s="7">
        <v>440000.00000000006</v>
      </c>
      <c r="F5" s="7">
        <f t="shared" si="0"/>
        <v>440000.00000000006</v>
      </c>
    </row>
    <row r="6" spans="1:6">
      <c r="A6" s="5">
        <v>5</v>
      </c>
      <c r="B6" s="5" t="s">
        <v>2</v>
      </c>
      <c r="C6" s="5">
        <v>5.5</v>
      </c>
      <c r="D6" s="5" t="s">
        <v>20</v>
      </c>
      <c r="E6" s="7">
        <v>65120.000000000007</v>
      </c>
      <c r="F6" s="7">
        <f t="shared" si="0"/>
        <v>358160.00000000006</v>
      </c>
    </row>
    <row r="7" spans="1:6">
      <c r="A7" s="5">
        <v>6</v>
      </c>
      <c r="B7" s="5" t="s">
        <v>4</v>
      </c>
      <c r="C7" s="5">
        <v>4.5</v>
      </c>
      <c r="D7" s="5" t="s">
        <v>20</v>
      </c>
      <c r="E7" s="7">
        <v>35200</v>
      </c>
      <c r="F7" s="7">
        <f t="shared" si="0"/>
        <v>158400</v>
      </c>
    </row>
    <row r="8" spans="1:6">
      <c r="A8" s="5">
        <v>7</v>
      </c>
      <c r="B8" s="5" t="s">
        <v>28</v>
      </c>
      <c r="C8" s="5">
        <v>4</v>
      </c>
      <c r="D8" s="5" t="s">
        <v>20</v>
      </c>
      <c r="E8" s="7">
        <v>18150</v>
      </c>
      <c r="F8" s="7">
        <f t="shared" si="0"/>
        <v>72600</v>
      </c>
    </row>
    <row r="9" spans="1:6">
      <c r="A9" s="5">
        <v>8</v>
      </c>
      <c r="B9" s="5" t="s">
        <v>7</v>
      </c>
      <c r="C9" s="5">
        <v>1</v>
      </c>
      <c r="D9" s="5" t="s">
        <v>22</v>
      </c>
      <c r="E9" s="7">
        <v>220000.00000000003</v>
      </c>
      <c r="F9" s="7">
        <f t="shared" si="0"/>
        <v>220000.00000000003</v>
      </c>
    </row>
    <row r="10" spans="1:6">
      <c r="A10" s="5">
        <v>9</v>
      </c>
      <c r="B10" s="5" t="s">
        <v>5</v>
      </c>
      <c r="C10" s="5">
        <v>1</v>
      </c>
      <c r="D10" s="5" t="s">
        <v>21</v>
      </c>
      <c r="E10" s="7">
        <v>163350</v>
      </c>
      <c r="F10" s="7">
        <f t="shared" si="0"/>
        <v>163350</v>
      </c>
    </row>
    <row r="11" spans="1:6">
      <c r="A11" s="5">
        <v>10</v>
      </c>
      <c r="B11" s="5" t="s">
        <v>6</v>
      </c>
      <c r="C11" s="5">
        <v>1</v>
      </c>
      <c r="D11" s="5" t="s">
        <v>21</v>
      </c>
      <c r="E11" s="7">
        <v>85800</v>
      </c>
      <c r="F11" s="7">
        <f t="shared" si="0"/>
        <v>85800</v>
      </c>
    </row>
    <row r="12" spans="1:6">
      <c r="A12" s="5">
        <v>11</v>
      </c>
      <c r="B12" s="5" t="s">
        <v>9</v>
      </c>
      <c r="C12" s="5">
        <v>50</v>
      </c>
      <c r="D12" s="5" t="s">
        <v>18</v>
      </c>
      <c r="E12" s="7">
        <v>4664</v>
      </c>
      <c r="F12" s="7">
        <f t="shared" si="0"/>
        <v>233200</v>
      </c>
    </row>
    <row r="13" spans="1:6">
      <c r="A13" s="5">
        <v>12</v>
      </c>
      <c r="B13" s="5" t="s">
        <v>10</v>
      </c>
      <c r="C13" s="5">
        <v>1</v>
      </c>
      <c r="D13" s="5" t="s">
        <v>22</v>
      </c>
      <c r="E13" s="7">
        <v>495000.00000000006</v>
      </c>
      <c r="F13" s="7">
        <f t="shared" si="0"/>
        <v>495000.00000000006</v>
      </c>
    </row>
    <row r="15" spans="1:6" s="1" customFormat="1">
      <c r="B15" s="1" t="s">
        <v>23</v>
      </c>
      <c r="E15" s="9"/>
      <c r="F15" s="9">
        <f>SUM(F2:F14)</f>
        <v>2716230</v>
      </c>
    </row>
  </sheetData>
  <pageMargins left="0.7" right="0.7" top="0.75" bottom="0.75" header="0.3" footer="0.3"/>
  <pageSetup paperSize="9" scale="77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view="pageBreakPreview" zoomScaleNormal="100" zoomScaleSheetLayoutView="100" workbookViewId="0">
      <selection activeCell="E16" sqref="E16"/>
    </sheetView>
  </sheetViews>
  <sheetFormatPr defaultRowHeight="15"/>
  <cols>
    <col min="1" max="1" width="9.28515625" bestFit="1" customWidth="1"/>
    <col min="2" max="2" width="65.28515625" bestFit="1" customWidth="1"/>
    <col min="3" max="3" width="9.28515625" bestFit="1" customWidth="1"/>
    <col min="5" max="6" width="10.85546875" style="8" bestFit="1" customWidth="1"/>
  </cols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6" t="s">
        <v>15</v>
      </c>
      <c r="F1" s="6" t="s">
        <v>16</v>
      </c>
    </row>
    <row r="2" spans="1:6">
      <c r="A2" s="5">
        <v>1</v>
      </c>
      <c r="B2" s="5" t="s">
        <v>0</v>
      </c>
      <c r="C2" s="5">
        <v>22</v>
      </c>
      <c r="D2" s="5" t="s">
        <v>18</v>
      </c>
      <c r="E2" s="7">
        <v>8800</v>
      </c>
      <c r="F2" s="7">
        <f>C2*E2</f>
        <v>193600</v>
      </c>
    </row>
    <row r="3" spans="1:6">
      <c r="A3" s="5">
        <v>2</v>
      </c>
      <c r="B3" s="5" t="s">
        <v>1</v>
      </c>
      <c r="C3" s="5">
        <v>6</v>
      </c>
      <c r="D3" s="5" t="s">
        <v>19</v>
      </c>
      <c r="E3" s="7">
        <v>24200.000000000004</v>
      </c>
      <c r="F3" s="7">
        <f t="shared" ref="F3:F12" si="0">C3*E3</f>
        <v>145200.00000000003</v>
      </c>
    </row>
    <row r="4" spans="1:6">
      <c r="A4" s="5">
        <v>3</v>
      </c>
      <c r="B4" s="5" t="s">
        <v>29</v>
      </c>
      <c r="C4" s="5">
        <v>1</v>
      </c>
      <c r="D4" s="5" t="s">
        <v>21</v>
      </c>
      <c r="E4" s="7">
        <v>1160500</v>
      </c>
      <c r="F4" s="7">
        <f t="shared" si="0"/>
        <v>1160500</v>
      </c>
    </row>
    <row r="5" spans="1:6">
      <c r="A5" s="5">
        <v>4</v>
      </c>
      <c r="B5" s="5" t="s">
        <v>30</v>
      </c>
      <c r="C5" s="5">
        <v>8.5</v>
      </c>
      <c r="D5" s="5" t="s">
        <v>20</v>
      </c>
      <c r="E5" s="7">
        <v>40920</v>
      </c>
      <c r="F5" s="7">
        <f t="shared" si="0"/>
        <v>347820</v>
      </c>
    </row>
    <row r="6" spans="1:6">
      <c r="A6" s="5">
        <v>5</v>
      </c>
      <c r="B6" s="5" t="s">
        <v>31</v>
      </c>
      <c r="C6" s="5">
        <v>4</v>
      </c>
      <c r="D6" s="5" t="s">
        <v>20</v>
      </c>
      <c r="E6" s="7">
        <v>15950.000000000002</v>
      </c>
      <c r="F6" s="7">
        <f t="shared" si="0"/>
        <v>63800.000000000007</v>
      </c>
    </row>
    <row r="7" spans="1:6">
      <c r="A7" s="5">
        <v>6</v>
      </c>
      <c r="B7" s="5" t="s">
        <v>32</v>
      </c>
      <c r="C7" s="5">
        <v>1</v>
      </c>
      <c r="D7" s="5" t="s">
        <v>22</v>
      </c>
      <c r="E7" s="7">
        <v>233750.00000000003</v>
      </c>
      <c r="F7" s="7">
        <f t="shared" si="0"/>
        <v>233750.00000000003</v>
      </c>
    </row>
    <row r="8" spans="1:6">
      <c r="A8" s="5">
        <v>7</v>
      </c>
      <c r="B8" s="5" t="s">
        <v>33</v>
      </c>
      <c r="C8" s="5">
        <v>1</v>
      </c>
      <c r="D8" s="5" t="s">
        <v>22</v>
      </c>
      <c r="E8" s="7">
        <v>931535.00000000012</v>
      </c>
      <c r="F8" s="7">
        <f t="shared" si="0"/>
        <v>931535.00000000012</v>
      </c>
    </row>
    <row r="9" spans="1:6">
      <c r="A9" s="5">
        <v>8</v>
      </c>
      <c r="B9" s="5" t="s">
        <v>7</v>
      </c>
      <c r="C9" s="5">
        <v>1</v>
      </c>
      <c r="D9" s="5" t="s">
        <v>22</v>
      </c>
      <c r="E9" s="7">
        <v>220000.00000000003</v>
      </c>
      <c r="F9" s="7">
        <f t="shared" si="0"/>
        <v>220000.00000000003</v>
      </c>
    </row>
    <row r="10" spans="1:6">
      <c r="A10" s="5">
        <v>9</v>
      </c>
      <c r="B10" s="5" t="s">
        <v>8</v>
      </c>
      <c r="C10" s="5">
        <v>22</v>
      </c>
      <c r="D10" s="5" t="s">
        <v>18</v>
      </c>
      <c r="E10" s="7">
        <v>53790.000000000007</v>
      </c>
      <c r="F10" s="7">
        <f t="shared" si="0"/>
        <v>1183380.0000000002</v>
      </c>
    </row>
    <row r="11" spans="1:6">
      <c r="A11" s="5">
        <v>10</v>
      </c>
      <c r="B11" s="5" t="s">
        <v>9</v>
      </c>
      <c r="C11" s="5">
        <v>20</v>
      </c>
      <c r="D11" s="5" t="s">
        <v>18</v>
      </c>
      <c r="E11" s="7">
        <v>4664</v>
      </c>
      <c r="F11" s="7">
        <f t="shared" si="0"/>
        <v>93280</v>
      </c>
    </row>
    <row r="12" spans="1:6">
      <c r="A12" s="5">
        <v>11</v>
      </c>
      <c r="B12" s="5" t="s">
        <v>10</v>
      </c>
      <c r="C12" s="5">
        <v>1</v>
      </c>
      <c r="D12" s="5" t="s">
        <v>22</v>
      </c>
      <c r="E12" s="7">
        <v>495000.00000000006</v>
      </c>
      <c r="F12" s="7">
        <f t="shared" si="0"/>
        <v>495000.00000000006</v>
      </c>
    </row>
    <row r="14" spans="1:6" s="1" customFormat="1">
      <c r="B14" s="1" t="s">
        <v>23</v>
      </c>
      <c r="E14" s="9"/>
      <c r="F14" s="9">
        <f>SUM(F2:F13)</f>
        <v>5067865</v>
      </c>
    </row>
  </sheetData>
  <pageMargins left="0.7" right="0.7" top="0.75" bottom="0.75" header="0.3" footer="0.3"/>
  <pageSetup paperSize="9" scale="7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Összesítő</vt:lpstr>
      <vt:lpstr>Szennyvíz</vt:lpstr>
      <vt:lpstr>Csapadékvíz</vt:lpstr>
      <vt:lpstr>Víz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Windows-felhasználó</cp:lastModifiedBy>
  <dcterms:created xsi:type="dcterms:W3CDTF">2026-05-04T08:16:27Z</dcterms:created>
  <dcterms:modified xsi:type="dcterms:W3CDTF">2026-05-04T08:34:28Z</dcterms:modified>
</cp:coreProperties>
</file>